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holn\Desktop\"/>
    </mc:Choice>
  </mc:AlternateContent>
  <xr:revisionPtr revIDLastSave="0" documentId="13_ncr:1_{C51574C6-1E8A-49D7-AA3E-BF3898651DDD}" xr6:coauthVersionLast="47" xr6:coauthVersionMax="47" xr10:uidLastSave="{00000000-0000-0000-0000-000000000000}"/>
  <bookViews>
    <workbookView xWindow="-120" yWindow="480" windowWidth="29040" windowHeight="15840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3" l="1"/>
  <c r="B14" i="3"/>
  <c r="B15" i="3" s="1"/>
  <c r="H14" i="3"/>
  <c r="D26" i="3"/>
  <c r="C26" i="3"/>
  <c r="C27" i="3" s="1"/>
  <c r="C28" i="3" s="1"/>
  <c r="C29" i="3" s="1"/>
  <c r="C30" i="3" s="1"/>
  <c r="C31" i="3" s="1"/>
  <c r="C32" i="3" s="1"/>
  <c r="C33" i="3" s="1"/>
  <c r="D25" i="3"/>
  <c r="C25" i="3"/>
  <c r="D24" i="3"/>
  <c r="H8" i="3"/>
  <c r="C15" i="3" s="1"/>
  <c r="M6" i="3" s="1"/>
  <c r="C33" i="2"/>
  <c r="D33" i="2"/>
  <c r="D29" i="2"/>
  <c r="D30" i="2"/>
  <c r="D31" i="2"/>
  <c r="D32" i="2" s="1"/>
  <c r="N26" i="1"/>
  <c r="M26" i="1"/>
  <c r="C14" i="2"/>
  <c r="C31" i="2"/>
  <c r="C32" i="2"/>
  <c r="D28" i="2"/>
  <c r="D27" i="2"/>
  <c r="C30" i="2"/>
  <c r="C27" i="2"/>
  <c r="C28" i="2"/>
  <c r="C29" i="2" s="1"/>
  <c r="C26" i="2"/>
  <c r="D25" i="2"/>
  <c r="D26" i="2"/>
  <c r="D24" i="2"/>
  <c r="C25" i="2"/>
  <c r="O6" i="2"/>
  <c r="N6" i="2"/>
  <c r="M6" i="2"/>
  <c r="L6" i="2"/>
  <c r="H11" i="2"/>
  <c r="H14" i="2"/>
  <c r="C15" i="2" s="1"/>
  <c r="M27" i="1"/>
  <c r="N27" i="1"/>
  <c r="N32" i="1"/>
  <c r="N33" i="1" s="1"/>
  <c r="M32" i="1"/>
  <c r="M33" i="1" s="1"/>
  <c r="C16" i="3" l="1"/>
  <c r="N6" i="3" s="1"/>
  <c r="O6" i="3" s="1"/>
  <c r="L6" i="3"/>
  <c r="D30" i="3" s="1"/>
  <c r="B14" i="2"/>
  <c r="B15" i="2" s="1"/>
  <c r="C16" i="2" s="1"/>
  <c r="N28" i="1"/>
  <c r="N29" i="1" s="1"/>
  <c r="N34" i="1"/>
  <c r="N35" i="1" s="1"/>
  <c r="D27" i="3" l="1"/>
  <c r="D28" i="3" s="1"/>
  <c r="D29" i="3" s="1"/>
  <c r="D31" i="3"/>
  <c r="D32" i="3" s="1"/>
  <c r="D33" i="3" s="1"/>
</calcChain>
</file>

<file path=xl/sharedStrings.xml><?xml version="1.0" encoding="utf-8"?>
<sst xmlns="http://schemas.openxmlformats.org/spreadsheetml/2006/main" count="164" uniqueCount="38">
  <si>
    <t>FINAL</t>
  </si>
  <si>
    <t>SINGLE</t>
  </si>
  <si>
    <t>POINT</t>
  </si>
  <si>
    <t>ENERGY</t>
  </si>
  <si>
    <t>аденин</t>
  </si>
  <si>
    <t>имин</t>
  </si>
  <si>
    <t>ts</t>
  </si>
  <si>
    <t>E=</t>
  </si>
  <si>
    <t>H298.15K=</t>
  </si>
  <si>
    <t>H333.15K=</t>
  </si>
  <si>
    <t>G298.15K=</t>
  </si>
  <si>
    <t>G333.15K=</t>
  </si>
  <si>
    <t>Ea прямой</t>
  </si>
  <si>
    <t>Ea обратной</t>
  </si>
  <si>
    <t>кДж/моль</t>
  </si>
  <si>
    <t>Eh</t>
  </si>
  <si>
    <t>Keq</t>
  </si>
  <si>
    <t>6 млрд. оснований в ДНК</t>
  </si>
  <si>
    <t>изменения в нуклеотидах ДНК может приводить</t>
  </si>
  <si>
    <t>к возникновению нестандартных пар</t>
  </si>
  <si>
    <t>(не аденин-тимин)</t>
  </si>
  <si>
    <t>это маловероятно (ибо возникает таутомер редко, а еще чтобы связался…)</t>
  </si>
  <si>
    <t>imine %</t>
  </si>
  <si>
    <t>1h</t>
  </si>
  <si>
    <t>G298.15=</t>
  </si>
  <si>
    <t>2h</t>
  </si>
  <si>
    <t>Переходное</t>
  </si>
  <si>
    <t>T = 298.15</t>
  </si>
  <si>
    <t>Процент</t>
  </si>
  <si>
    <t>Барьер обратной реакции, кДж/моль</t>
  </si>
  <si>
    <t>Барьер прямой реакции, кДж/моль</t>
  </si>
  <si>
    <t>Доля 2h</t>
  </si>
  <si>
    <t>x</t>
  </si>
  <si>
    <t>y</t>
  </si>
  <si>
    <t>Доля 1h</t>
  </si>
  <si>
    <t>-363.27385160</t>
  </si>
  <si>
    <t>NEB</t>
  </si>
  <si>
    <t>-363.27384682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</si>
</sst>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%"/>
  </numFmts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164" fontId="1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Поиск переходного состояния реакции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Лист1!$G$7:$G$43</c:f>
              <c:numCache>
                <c:formatCode>General</c:formatCode>
                <c:ptCount val="37"/>
                <c:pt idx="0">
                  <c:v>-467.32387196880302</c:v>
                </c:pt>
                <c:pt idx="1">
                  <c:v>-467.32852342788601</c:v>
                </c:pt>
                <c:pt idx="2">
                  <c:v>-467.33136452971598</c:v>
                </c:pt>
                <c:pt idx="3">
                  <c:v>-467.33733934316598</c:v>
                </c:pt>
                <c:pt idx="4">
                  <c:v>-467.346549382847</c:v>
                </c:pt>
                <c:pt idx="5">
                  <c:v>-467.34645903304101</c:v>
                </c:pt>
                <c:pt idx="6">
                  <c:v>-467.34822503556001</c:v>
                </c:pt>
                <c:pt idx="7">
                  <c:v>-467.348790224666</c:v>
                </c:pt>
                <c:pt idx="8">
                  <c:v>-467.34931775982898</c:v>
                </c:pt>
                <c:pt idx="9">
                  <c:v>-467.34952543465698</c:v>
                </c:pt>
                <c:pt idx="10">
                  <c:v>-467.34971880824799</c:v>
                </c:pt>
                <c:pt idx="11">
                  <c:v>-467.34987482356399</c:v>
                </c:pt>
                <c:pt idx="12">
                  <c:v>-467.34998434555598</c:v>
                </c:pt>
                <c:pt idx="13">
                  <c:v>-467.35003616409398</c:v>
                </c:pt>
                <c:pt idx="14">
                  <c:v>-467.35009320325298</c:v>
                </c:pt>
                <c:pt idx="15">
                  <c:v>-467.35007878363598</c:v>
                </c:pt>
                <c:pt idx="16">
                  <c:v>-467.35012218804798</c:v>
                </c:pt>
                <c:pt idx="17">
                  <c:v>-467.35013917602299</c:v>
                </c:pt>
                <c:pt idx="18">
                  <c:v>-467.35014857960903</c:v>
                </c:pt>
                <c:pt idx="19">
                  <c:v>-467.35014986493201</c:v>
                </c:pt>
                <c:pt idx="20">
                  <c:v>-467.35015457575003</c:v>
                </c:pt>
                <c:pt idx="21">
                  <c:v>-467.35015589412501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9E-4A5E-AF9F-38064F8DB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354968"/>
        <c:axId val="335355360"/>
      </c:scatterChart>
      <c:valAx>
        <c:axId val="33535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5355360"/>
        <c:crosses val="autoZero"/>
        <c:crossBetween val="midCat"/>
      </c:valAx>
      <c:valAx>
        <c:axId val="3353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535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Лист2!$C$24:$C$32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25</c:v>
                </c:pt>
                <c:pt idx="4">
                  <c:v>40</c:v>
                </c:pt>
                <c:pt idx="5">
                  <c:v>55</c:v>
                </c:pt>
                <c:pt idx="6">
                  <c:v>70</c:v>
                </c:pt>
                <c:pt idx="7">
                  <c:v>85</c:v>
                </c:pt>
                <c:pt idx="8">
                  <c:v>100</c:v>
                </c:pt>
              </c:numCache>
            </c:numRef>
          </c:xVal>
          <c:yVal>
            <c:numRef>
              <c:f>Лист2!$D$24:$D$32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158.8640904130194</c:v>
                </c:pt>
                <c:pt idx="4" formatCode="0.00">
                  <c:v>158.8640904130194</c:v>
                </c:pt>
                <c:pt idx="5" formatCode="0.00">
                  <c:v>158.8640904130194</c:v>
                </c:pt>
                <c:pt idx="6" formatCode="0.00">
                  <c:v>-22.850008490369703</c:v>
                </c:pt>
                <c:pt idx="7" formatCode="0.00">
                  <c:v>-22.850008490369703</c:v>
                </c:pt>
                <c:pt idx="8" formatCode="0.00">
                  <c:v>-22.850008490369703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B3D-46C0-9C3C-46889FA29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429215"/>
        <c:axId val="1254431711"/>
      </c:scatterChart>
      <c:valAx>
        <c:axId val="125442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431711"/>
        <c:crosses val="autoZero"/>
        <c:crossBetween val="midCat"/>
      </c:valAx>
      <c:valAx>
        <c:axId val="125443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42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Лист3!$C$24:$C$33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25</c:v>
                </c:pt>
                <c:pt idx="4">
                  <c:v>40</c:v>
                </c:pt>
                <c:pt idx="5">
                  <c:v>55</c:v>
                </c:pt>
                <c:pt idx="6">
                  <c:v>70</c:v>
                </c:pt>
                <c:pt idx="7">
                  <c:v>85</c:v>
                </c:pt>
                <c:pt idx="8">
                  <c:v>100</c:v>
                </c:pt>
                <c:pt idx="9">
                  <c:v>115</c:v>
                </c:pt>
              </c:numCache>
            </c:numRef>
          </c:xVal>
          <c:yVal>
            <c:numRef>
              <c:f>Лист3!$D$24:$D$33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181.71407264876828</c:v>
                </c:pt>
                <c:pt idx="4" formatCode="0.00">
                  <c:v>181.71407264876828</c:v>
                </c:pt>
                <c:pt idx="5" formatCode="0.00">
                  <c:v>181.71407264876828</c:v>
                </c:pt>
                <c:pt idx="6" formatCode="0.00">
                  <c:v>22.850008490369703</c:v>
                </c:pt>
                <c:pt idx="7" formatCode="0.00">
                  <c:v>22.850008490369703</c:v>
                </c:pt>
                <c:pt idx="8" formatCode="0.00">
                  <c:v>22.850008490369703</c:v>
                </c:pt>
                <c:pt idx="9" formatCode="0.00">
                  <c:v>22.850008490369703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48-464D-BA87-0D3BF69FE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429215"/>
        <c:axId val="1254431711"/>
      </c:scatterChart>
      <c:valAx>
        <c:axId val="125442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431711"/>
        <c:crosses val="autoZero"/>
        <c:crossBetween val="midCat"/>
      </c:valAx>
      <c:valAx>
        <c:axId val="125443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442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407670</xdr:colOff>
      <xdr:row>0</xdr:row>
      <xdr:rowOff>95250</xdr:rowOff>
    </xdr:from>
    <xdr:to>
      <xdr:col>13</xdr:col>
      <xdr:colOff>739140</xdr:colOff>
      <xdr:row>15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449668</xdr:colOff>
      <xdr:row>7</xdr:row>
      <xdr:rowOff>138371</xdr:rowOff>
    </xdr:from>
    <xdr:to>
      <xdr:col>13</xdr:col>
      <xdr:colOff>22888</xdr:colOff>
      <xdr:row>20</xdr:row>
      <xdr:rowOff>164362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78124B-1495-49FA-B038-F0ECE0901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449668</xdr:colOff>
      <xdr:row>7</xdr:row>
      <xdr:rowOff>138371</xdr:rowOff>
    </xdr:from>
    <xdr:to>
      <xdr:col>13</xdr:col>
      <xdr:colOff>22888</xdr:colOff>
      <xdr:row>20</xdr:row>
      <xdr:rowOff>164362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AA1745A-E3DE-4607-B90A-4ADD5CCDE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N42"/>
  <sheetViews>
    <sheetView topLeftCell="A10" workbookViewId="0">
      <selection activeCell="N26" sqref="N26"/>
    </sheetView>
  </sheetViews>
  <sheetFormatPr defaultRowHeight="15" x14ac:dyDescent="0.25"/>
  <cols>
    <col min="9" max="9" width="11.85546875" customWidth="1"/>
    <col min="10" max="10" width="16.28515625" customWidth="1"/>
    <col min="12" max="12" width="12" customWidth="1"/>
    <col min="13" max="13" width="13" customWidth="1"/>
    <col min="14" max="14" width="14.85546875" customWidth="1"/>
  </cols>
  <sheetData>
    <row r="7" spans="3:7" x14ac:dyDescent="0.25">
      <c r="C7" t="s">
        <v>0</v>
      </c>
      <c r="D7" t="s">
        <v>1</v>
      </c>
      <c r="E7" t="s">
        <v>2</v>
      </c>
      <c r="F7" t="s">
        <v>3</v>
      </c>
      <c r="G7">
        <v>-467.32387196880302</v>
      </c>
    </row>
    <row r="8" spans="3:7" x14ac:dyDescent="0.25">
      <c r="C8" t="s">
        <v>0</v>
      </c>
      <c r="D8" t="s">
        <v>1</v>
      </c>
      <c r="E8" t="s">
        <v>2</v>
      </c>
      <c r="F8" t="s">
        <v>3</v>
      </c>
      <c r="G8">
        <v>-467.32852342788601</v>
      </c>
    </row>
    <row r="9" spans="3:7" x14ac:dyDescent="0.25">
      <c r="C9" t="s">
        <v>0</v>
      </c>
      <c r="D9" t="s">
        <v>1</v>
      </c>
      <c r="E9" t="s">
        <v>2</v>
      </c>
      <c r="F9" t="s">
        <v>3</v>
      </c>
      <c r="G9">
        <v>-467.33136452971598</v>
      </c>
    </row>
    <row r="10" spans="3:7" x14ac:dyDescent="0.25">
      <c r="C10" t="s">
        <v>0</v>
      </c>
      <c r="D10" t="s">
        <v>1</v>
      </c>
      <c r="E10" t="s">
        <v>2</v>
      </c>
      <c r="F10" t="s">
        <v>3</v>
      </c>
      <c r="G10">
        <v>-467.33733934316598</v>
      </c>
    </row>
    <row r="11" spans="3:7" x14ac:dyDescent="0.25">
      <c r="C11" t="s">
        <v>0</v>
      </c>
      <c r="D11" t="s">
        <v>1</v>
      </c>
      <c r="E11" t="s">
        <v>2</v>
      </c>
      <c r="F11" t="s">
        <v>3</v>
      </c>
      <c r="G11">
        <v>-467.346549382847</v>
      </c>
    </row>
    <row r="12" spans="3:7" x14ac:dyDescent="0.25">
      <c r="C12" t="s">
        <v>0</v>
      </c>
      <c r="D12" t="s">
        <v>1</v>
      </c>
      <c r="E12" t="s">
        <v>2</v>
      </c>
      <c r="F12" t="s">
        <v>3</v>
      </c>
      <c r="G12">
        <v>-467.34645903304101</v>
      </c>
    </row>
    <row r="13" spans="3:7" x14ac:dyDescent="0.25">
      <c r="C13" t="s">
        <v>0</v>
      </c>
      <c r="D13" t="s">
        <v>1</v>
      </c>
      <c r="E13" t="s">
        <v>2</v>
      </c>
      <c r="F13" t="s">
        <v>3</v>
      </c>
      <c r="G13">
        <v>-467.34822503556001</v>
      </c>
    </row>
    <row r="14" spans="3:7" x14ac:dyDescent="0.25">
      <c r="C14" t="s">
        <v>0</v>
      </c>
      <c r="D14" t="s">
        <v>1</v>
      </c>
      <c r="E14" t="s">
        <v>2</v>
      </c>
      <c r="F14" t="s">
        <v>3</v>
      </c>
      <c r="G14">
        <v>-467.348790224666</v>
      </c>
    </row>
    <row r="15" spans="3:7" x14ac:dyDescent="0.25">
      <c r="C15" t="s">
        <v>0</v>
      </c>
      <c r="D15" t="s">
        <v>1</v>
      </c>
      <c r="E15" t="s">
        <v>2</v>
      </c>
      <c r="F15" t="s">
        <v>3</v>
      </c>
      <c r="G15">
        <v>-467.34931775982898</v>
      </c>
    </row>
    <row r="16" spans="3:7" x14ac:dyDescent="0.25">
      <c r="C16" t="s">
        <v>0</v>
      </c>
      <c r="D16" t="s">
        <v>1</v>
      </c>
      <c r="E16" t="s">
        <v>2</v>
      </c>
      <c r="F16" t="s">
        <v>3</v>
      </c>
      <c r="G16">
        <v>-467.34952543465698</v>
      </c>
    </row>
    <row r="17" spans="3:14" x14ac:dyDescent="0.25">
      <c r="C17" t="s">
        <v>0</v>
      </c>
      <c r="D17" t="s">
        <v>1</v>
      </c>
      <c r="E17" t="s">
        <v>2</v>
      </c>
      <c r="F17" t="s">
        <v>3</v>
      </c>
      <c r="G17">
        <v>-467.34971880824799</v>
      </c>
    </row>
    <row r="18" spans="3:14" x14ac:dyDescent="0.25">
      <c r="C18" t="s">
        <v>0</v>
      </c>
      <c r="D18" t="s">
        <v>1</v>
      </c>
      <c r="E18" t="s">
        <v>2</v>
      </c>
      <c r="F18" t="s">
        <v>3</v>
      </c>
      <c r="G18">
        <v>-467.34987482356399</v>
      </c>
    </row>
    <row r="19" spans="3:14" x14ac:dyDescent="0.25">
      <c r="C19" t="s">
        <v>0</v>
      </c>
      <c r="D19" t="s">
        <v>1</v>
      </c>
      <c r="E19" t="s">
        <v>2</v>
      </c>
      <c r="F19" t="s">
        <v>3</v>
      </c>
      <c r="G19">
        <v>-467.34998434555598</v>
      </c>
    </row>
    <row r="20" spans="3:14" ht="18.75" x14ac:dyDescent="0.3">
      <c r="C20" t="s">
        <v>0</v>
      </c>
      <c r="D20" t="s">
        <v>1</v>
      </c>
      <c r="E20" t="s">
        <v>2</v>
      </c>
      <c r="F20" t="s">
        <v>3</v>
      </c>
      <c r="G20">
        <v>-467.35003616409398</v>
      </c>
      <c r="I20" s="1" t="s">
        <v>4</v>
      </c>
      <c r="J20" s="1"/>
      <c r="K20" s="1"/>
    </row>
    <row r="21" spans="3:14" ht="18.75" x14ac:dyDescent="0.3">
      <c r="C21" t="s">
        <v>0</v>
      </c>
      <c r="D21" t="s">
        <v>1</v>
      </c>
      <c r="E21" t="s">
        <v>2</v>
      </c>
      <c r="F21" t="s">
        <v>3</v>
      </c>
      <c r="G21">
        <v>-467.35009320325298</v>
      </c>
      <c r="I21" s="1" t="s">
        <v>7</v>
      </c>
      <c r="J21" s="1">
        <v>-467.425237682334</v>
      </c>
      <c r="K21" s="1"/>
    </row>
    <row r="22" spans="3:14" ht="18.75" x14ac:dyDescent="0.3">
      <c r="C22" t="s">
        <v>0</v>
      </c>
      <c r="D22" t="s">
        <v>1</v>
      </c>
      <c r="E22" t="s">
        <v>2</v>
      </c>
      <c r="F22" t="s">
        <v>3</v>
      </c>
      <c r="G22">
        <v>-467.35007878363598</v>
      </c>
      <c r="I22" s="1" t="s">
        <v>8</v>
      </c>
      <c r="J22" s="1">
        <v>-467.30903244000001</v>
      </c>
      <c r="K22" s="1"/>
    </row>
    <row r="23" spans="3:14" ht="18.75" x14ac:dyDescent="0.3">
      <c r="C23" t="s">
        <v>0</v>
      </c>
      <c r="D23" t="s">
        <v>1</v>
      </c>
      <c r="E23" t="s">
        <v>2</v>
      </c>
      <c r="F23" t="s">
        <v>3</v>
      </c>
      <c r="G23">
        <v>-467.35012218804798</v>
      </c>
      <c r="I23" s="1" t="s">
        <v>9</v>
      </c>
      <c r="J23" s="1">
        <v>-467.30716860000001</v>
      </c>
      <c r="K23" s="1"/>
    </row>
    <row r="24" spans="3:14" ht="18.75" x14ac:dyDescent="0.3">
      <c r="C24" t="s">
        <v>0</v>
      </c>
      <c r="D24" t="s">
        <v>1</v>
      </c>
      <c r="E24" t="s">
        <v>2</v>
      </c>
      <c r="F24" t="s">
        <v>3</v>
      </c>
      <c r="G24">
        <v>-467.35013917602299</v>
      </c>
      <c r="I24" s="1" t="s">
        <v>10</v>
      </c>
      <c r="J24" s="1">
        <v>-467.34936921000002</v>
      </c>
      <c r="K24" s="1"/>
    </row>
    <row r="25" spans="3:14" ht="18.75" x14ac:dyDescent="0.3">
      <c r="C25" t="s">
        <v>0</v>
      </c>
      <c r="D25" t="s">
        <v>1</v>
      </c>
      <c r="E25" t="s">
        <v>2</v>
      </c>
      <c r="F25" t="s">
        <v>3</v>
      </c>
      <c r="G25">
        <v>-467.35014857960903</v>
      </c>
      <c r="I25" s="1" t="s">
        <v>11</v>
      </c>
      <c r="J25" s="1">
        <v>-467.35421375999999</v>
      </c>
      <c r="K25" s="1"/>
      <c r="L25" s="6">
        <v>298.14999999999998</v>
      </c>
      <c r="M25" s="2" t="s">
        <v>12</v>
      </c>
      <c r="N25" s="2" t="s">
        <v>13</v>
      </c>
    </row>
    <row r="26" spans="3:14" ht="18.75" x14ac:dyDescent="0.3">
      <c r="C26" t="s">
        <v>0</v>
      </c>
      <c r="D26" t="s">
        <v>1</v>
      </c>
      <c r="E26" t="s">
        <v>2</v>
      </c>
      <c r="F26" t="s">
        <v>3</v>
      </c>
      <c r="G26">
        <v>-467.35014986493201</v>
      </c>
      <c r="I26" s="1"/>
      <c r="J26" s="1"/>
      <c r="K26" s="1"/>
      <c r="L26" s="2" t="s">
        <v>15</v>
      </c>
      <c r="M26" s="2">
        <f>J38-J24</f>
        <v>6.9452860000012606E-2</v>
      </c>
      <c r="N26" s="2">
        <f>J38-J31</f>
        <v>5.5284169999993082E-2</v>
      </c>
    </row>
    <row r="27" spans="3:14" ht="18.75" x14ac:dyDescent="0.3">
      <c r="C27" t="s">
        <v>0</v>
      </c>
      <c r="D27" t="s">
        <v>1</v>
      </c>
      <c r="E27" t="s">
        <v>2</v>
      </c>
      <c r="F27" t="s">
        <v>3</v>
      </c>
      <c r="G27">
        <v>-467.35015457575003</v>
      </c>
      <c r="I27" s="1" t="s">
        <v>5</v>
      </c>
      <c r="J27" s="1"/>
      <c r="K27" s="1"/>
      <c r="L27" s="3" t="s">
        <v>14</v>
      </c>
      <c r="M27" s="4">
        <f>M26*2625.46</f>
        <v>182.3457058156331</v>
      </c>
      <c r="N27" s="4">
        <f>N26*2625.46</f>
        <v>145.14637696818184</v>
      </c>
    </row>
    <row r="28" spans="3:14" ht="18.75" x14ac:dyDescent="0.3">
      <c r="C28" t="s">
        <v>0</v>
      </c>
      <c r="D28" t="s">
        <v>1</v>
      </c>
      <c r="E28" t="s">
        <v>2</v>
      </c>
      <c r="F28" t="s">
        <v>3</v>
      </c>
      <c r="G28">
        <v>-467.35015589412501</v>
      </c>
      <c r="I28" s="1" t="s">
        <v>7</v>
      </c>
      <c r="J28" s="1">
        <v>-467.41213591654599</v>
      </c>
      <c r="K28" s="1"/>
      <c r="M28" s="2" t="s">
        <v>16</v>
      </c>
      <c r="N28" s="2">
        <f>EXP(-(M27-N27)*1000/(8.314*L25))</f>
        <v>3.0380639771136646E-7</v>
      </c>
    </row>
    <row r="29" spans="3:14" ht="18.75" x14ac:dyDescent="0.3">
      <c r="I29" s="1" t="s">
        <v>8</v>
      </c>
      <c r="J29" s="1">
        <v>-467.29554727999999</v>
      </c>
      <c r="K29" s="1"/>
      <c r="M29" s="2" t="s">
        <v>22</v>
      </c>
      <c r="N29" s="7">
        <f>N28/(1+N28)</f>
        <v>3.0380630541306717E-7</v>
      </c>
    </row>
    <row r="30" spans="3:14" ht="18.75" x14ac:dyDescent="0.3">
      <c r="I30" s="1" t="s">
        <v>9</v>
      </c>
      <c r="J30" s="1">
        <v>-467.29374338000002</v>
      </c>
      <c r="K30" s="1"/>
      <c r="M30" s="1"/>
      <c r="N30" s="1"/>
    </row>
    <row r="31" spans="3:14" ht="18.75" x14ac:dyDescent="0.3">
      <c r="I31" s="1" t="s">
        <v>10</v>
      </c>
      <c r="J31" s="1">
        <v>-467.33520052</v>
      </c>
      <c r="K31" s="1"/>
      <c r="L31" s="5">
        <v>333.15</v>
      </c>
      <c r="M31" s="2" t="s">
        <v>12</v>
      </c>
      <c r="N31" s="2" t="s">
        <v>13</v>
      </c>
    </row>
    <row r="32" spans="3:14" ht="18.75" x14ac:dyDescent="0.3">
      <c r="I32" s="1" t="s">
        <v>11</v>
      </c>
      <c r="J32" s="1">
        <v>-467.33996137000003</v>
      </c>
      <c r="K32" s="1"/>
      <c r="L32" s="2" t="s">
        <v>15</v>
      </c>
      <c r="M32" s="2">
        <f>J39-J25</f>
        <v>6.951261000000386E-2</v>
      </c>
      <c r="N32" s="2">
        <f>J39-J32</f>
        <v>5.5260220000036497E-2</v>
      </c>
    </row>
    <row r="33" spans="9:14" ht="18.75" x14ac:dyDescent="0.3">
      <c r="I33" s="1"/>
      <c r="J33" s="1"/>
      <c r="K33" s="1"/>
      <c r="L33" s="3" t="s">
        <v>14</v>
      </c>
      <c r="M33" s="4">
        <f>M32*2625.46</f>
        <v>182.50257705061014</v>
      </c>
      <c r="N33" s="4">
        <f>N32*2625.46</f>
        <v>145.08349720129581</v>
      </c>
    </row>
    <row r="34" spans="9:14" ht="18.75" x14ac:dyDescent="0.3">
      <c r="I34" s="1" t="s">
        <v>6</v>
      </c>
      <c r="J34" s="1"/>
      <c r="K34" s="1"/>
      <c r="L34" s="1"/>
      <c r="M34" s="2" t="s">
        <v>16</v>
      </c>
      <c r="N34" s="2">
        <f>EXP(-(M33-N33)*1000/(8.314*L31))</f>
        <v>1.3578280882255951E-6</v>
      </c>
    </row>
    <row r="35" spans="9:14" ht="18.75" x14ac:dyDescent="0.3">
      <c r="I35" s="1" t="s">
        <v>7</v>
      </c>
      <c r="J35" s="1">
        <v>-467.35015589412501</v>
      </c>
      <c r="K35" s="1"/>
      <c r="L35" s="1"/>
      <c r="M35" s="2" t="s">
        <v>22</v>
      </c>
      <c r="N35" s="7">
        <f>N34/(1+N34)</f>
        <v>1.3578262445309815E-6</v>
      </c>
    </row>
    <row r="36" spans="9:14" ht="18.75" x14ac:dyDescent="0.3">
      <c r="I36" s="1" t="s">
        <v>8</v>
      </c>
      <c r="J36" s="1">
        <v>-467.24005605999997</v>
      </c>
      <c r="K36" s="1"/>
      <c r="L36" s="1"/>
      <c r="M36" s="1"/>
      <c r="N36" s="1"/>
    </row>
    <row r="37" spans="9:14" ht="18.75" x14ac:dyDescent="0.3">
      <c r="I37" s="1" t="s">
        <v>9</v>
      </c>
      <c r="J37" s="1">
        <v>-467.23825950999998</v>
      </c>
      <c r="K37" s="1"/>
      <c r="L37" s="1" t="s">
        <v>17</v>
      </c>
      <c r="M37" s="1"/>
      <c r="N37" s="1"/>
    </row>
    <row r="38" spans="9:14" ht="18.75" x14ac:dyDescent="0.3">
      <c r="I38" s="1" t="s">
        <v>10</v>
      </c>
      <c r="J38" s="1">
        <v>-467.27991635000001</v>
      </c>
      <c r="K38" s="1"/>
      <c r="L38" s="1" t="s">
        <v>18</v>
      </c>
      <c r="M38" s="1"/>
      <c r="N38" s="1"/>
    </row>
    <row r="39" spans="9:14" ht="18.75" x14ac:dyDescent="0.3">
      <c r="I39" s="1" t="s">
        <v>11</v>
      </c>
      <c r="J39" s="1">
        <v>-467.28470114999999</v>
      </c>
      <c r="K39" s="1"/>
      <c r="L39" s="1" t="s">
        <v>19</v>
      </c>
      <c r="M39" s="1"/>
      <c r="N39" s="1"/>
    </row>
    <row r="40" spans="9:14" ht="18.75" x14ac:dyDescent="0.3">
      <c r="I40" s="1"/>
      <c r="J40" s="1"/>
      <c r="K40" s="1"/>
      <c r="L40" s="1" t="s">
        <v>20</v>
      </c>
      <c r="M40" s="1"/>
      <c r="N40" s="1"/>
    </row>
    <row r="41" spans="9:14" ht="18.75" x14ac:dyDescent="0.3">
      <c r="L41" s="1" t="s">
        <v>21</v>
      </c>
      <c r="M41" s="1"/>
      <c r="N41" s="1"/>
    </row>
    <row r="42" spans="9:14" ht="18.75" x14ac:dyDescent="0.3">
      <c r="L42" s="1"/>
      <c r="M42" s="1"/>
      <c r="N4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E7BF-A3C6-400A-9956-74B8C4575213}">
  <dimension ref="A5:O33"/>
  <sheetViews>
    <sheetView tabSelected="1" topLeftCell="A4" zoomScale="99" workbookViewId="0">
      <selection activeCell="N6" sqref="N6"/>
    </sheetView>
  </sheetViews>
  <sheetFormatPr defaultRowHeight="15" x14ac:dyDescent="0.25"/>
  <cols>
    <col min="1" max="1" width="18" customWidth="1"/>
    <col min="2" max="2" width="14.140625" customWidth="1"/>
    <col min="3" max="3" width="17.42578125" customWidth="1"/>
    <col min="8" max="8" width="16.5703125" customWidth="1"/>
    <col min="11" max="11" width="17" customWidth="1"/>
    <col min="12" max="12" width="23.85546875" customWidth="1"/>
    <col min="13" max="13" width="15.7109375" customWidth="1"/>
    <col min="14" max="14" width="15.85546875" customWidth="1"/>
    <col min="15" max="15" width="18.5703125" customWidth="1"/>
  </cols>
  <sheetData>
    <row r="5" spans="1:15" ht="60" x14ac:dyDescent="0.25">
      <c r="K5" s="8" t="s">
        <v>27</v>
      </c>
      <c r="L5" s="9" t="s">
        <v>30</v>
      </c>
      <c r="M5" s="9" t="s">
        <v>29</v>
      </c>
      <c r="N5" s="9" t="s">
        <v>31</v>
      </c>
      <c r="O5" s="8" t="s">
        <v>28</v>
      </c>
    </row>
    <row r="6" spans="1:15" x14ac:dyDescent="0.25">
      <c r="K6" s="8"/>
      <c r="L6" s="10">
        <f>B15</f>
        <v>158.8640904130194</v>
      </c>
      <c r="M6" s="10">
        <f>C15</f>
        <v>181.7140989033891</v>
      </c>
      <c r="N6" s="8">
        <f>C16/(1+C16)</f>
        <v>0.999900783050933</v>
      </c>
      <c r="O6" s="8">
        <f>N6*100</f>
        <v>99.990078305093306</v>
      </c>
    </row>
    <row r="7" spans="1:15" x14ac:dyDescent="0.25">
      <c r="G7" t="s">
        <v>23</v>
      </c>
    </row>
    <row r="8" spans="1:15" x14ac:dyDescent="0.25">
      <c r="G8" t="s">
        <v>24</v>
      </c>
      <c r="H8">
        <v>-363.33433927999999</v>
      </c>
    </row>
    <row r="10" spans="1:15" x14ac:dyDescent="0.25">
      <c r="G10" t="s">
        <v>25</v>
      </c>
    </row>
    <row r="11" spans="1:15" x14ac:dyDescent="0.25">
      <c r="G11" t="s">
        <v>24</v>
      </c>
      <c r="H11">
        <f>-363.34304252</f>
        <v>-363.34304251999998</v>
      </c>
    </row>
    <row r="13" spans="1:15" ht="18.75" x14ac:dyDescent="0.3">
      <c r="A13" s="6">
        <v>298.14999999999998</v>
      </c>
      <c r="B13" s="2" t="s">
        <v>12</v>
      </c>
      <c r="C13" s="2" t="s">
        <v>13</v>
      </c>
      <c r="G13" t="s">
        <v>26</v>
      </c>
    </row>
    <row r="14" spans="1:15" ht="18.75" x14ac:dyDescent="0.3">
      <c r="A14" s="2" t="s">
        <v>15</v>
      </c>
      <c r="B14" s="2">
        <f>H14-H8</f>
        <v>6.0509050000007392E-2</v>
      </c>
      <c r="C14" s="2">
        <f>H14-H11</f>
        <v>6.9212289999995846E-2</v>
      </c>
      <c r="G14" t="s">
        <v>24</v>
      </c>
      <c r="H14">
        <f>-363.27383023</f>
        <v>-363.27383022999999</v>
      </c>
    </row>
    <row r="15" spans="1:15" ht="18.75" x14ac:dyDescent="0.3">
      <c r="A15" s="3" t="s">
        <v>14</v>
      </c>
      <c r="B15" s="4">
        <f>B14*2625.46</f>
        <v>158.8640904130194</v>
      </c>
      <c r="C15" s="4">
        <f>C14*2625.46</f>
        <v>181.7140989033891</v>
      </c>
    </row>
    <row r="16" spans="1:15" ht="18.75" x14ac:dyDescent="0.3">
      <c r="B16" s="2" t="s">
        <v>16</v>
      </c>
      <c r="C16" s="2">
        <f>EXP(-(B15-C15)*1000/(8.314*A13))</f>
        <v>10077.923101375971</v>
      </c>
    </row>
    <row r="17" spans="2:8" ht="18.75" x14ac:dyDescent="0.3">
      <c r="B17" s="2" t="s">
        <v>22</v>
      </c>
      <c r="C17" s="7"/>
      <c r="G17" t="s">
        <v>36</v>
      </c>
      <c r="H17" t="s">
        <v>35</v>
      </c>
    </row>
    <row r="18" spans="2:8" x14ac:dyDescent="0.25">
      <c r="H18" t="s">
        <v>37</v>
      </c>
    </row>
    <row r="23" spans="2:8" x14ac:dyDescent="0.25">
      <c r="C23" t="s">
        <v>32</v>
      </c>
      <c r="D23" t="s">
        <v>33</v>
      </c>
    </row>
    <row r="24" spans="2:8" x14ac:dyDescent="0.25">
      <c r="C24">
        <v>0</v>
      </c>
      <c r="D24">
        <f>0</f>
        <v>0</v>
      </c>
    </row>
    <row r="25" spans="2:8" x14ac:dyDescent="0.25">
      <c r="C25">
        <f>C24+5</f>
        <v>5</v>
      </c>
      <c r="D25">
        <f>0</f>
        <v>0</v>
      </c>
    </row>
    <row r="26" spans="2:8" x14ac:dyDescent="0.25">
      <c r="C26">
        <f>C25+10</f>
        <v>15</v>
      </c>
      <c r="D26">
        <f>0</f>
        <v>0</v>
      </c>
    </row>
    <row r="27" spans="2:8" x14ac:dyDescent="0.25">
      <c r="C27">
        <f>C26+10</f>
        <v>25</v>
      </c>
      <c r="D27" s="11">
        <f>L6</f>
        <v>158.8640904130194</v>
      </c>
      <c r="H27" s="11"/>
    </row>
    <row r="28" spans="2:8" x14ac:dyDescent="0.25">
      <c r="C28">
        <f t="shared" ref="C28:C32" si="0">C27+15</f>
        <v>40</v>
      </c>
      <c r="D28" s="11">
        <f>D27</f>
        <v>158.8640904130194</v>
      </c>
      <c r="H28" s="11"/>
    </row>
    <row r="29" spans="2:8" x14ac:dyDescent="0.25">
      <c r="C29">
        <f t="shared" si="0"/>
        <v>55</v>
      </c>
      <c r="D29" s="11">
        <f>D28</f>
        <v>158.8640904130194</v>
      </c>
      <c r="H29" s="11"/>
    </row>
    <row r="30" spans="2:8" x14ac:dyDescent="0.25">
      <c r="C30">
        <f t="shared" si="0"/>
        <v>70</v>
      </c>
      <c r="D30" s="11">
        <f>L6-M6</f>
        <v>-22.850008490369703</v>
      </c>
      <c r="H30" s="11"/>
    </row>
    <row r="31" spans="2:8" x14ac:dyDescent="0.25">
      <c r="C31">
        <f t="shared" si="0"/>
        <v>85</v>
      </c>
      <c r="D31" s="11">
        <f t="shared" ref="D31:D32" si="1">D30</f>
        <v>-22.850008490369703</v>
      </c>
      <c r="H31" s="11"/>
    </row>
    <row r="32" spans="2:8" x14ac:dyDescent="0.25">
      <c r="C32">
        <f t="shared" si="0"/>
        <v>100</v>
      </c>
      <c r="D32" s="11">
        <f t="shared" si="1"/>
        <v>-22.850008490369703</v>
      </c>
      <c r="H32" s="11"/>
    </row>
    <row r="33" spans="3:8" x14ac:dyDescent="0.25">
      <c r="C33">
        <f t="shared" ref="C33" si="2">C32+15</f>
        <v>115</v>
      </c>
      <c r="D33" s="11">
        <f t="shared" ref="D33" si="3">D32</f>
        <v>-22.850008490369703</v>
      </c>
      <c r="H33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F814-71EA-4504-AAE6-91956B6795D3}">
  <dimension ref="A5:O33"/>
  <sheetViews>
    <sheetView topLeftCell="A3" workbookViewId="0">
      <selection activeCell="O14" sqref="O14"/>
    </sheetView>
  </sheetViews>
  <sheetFormatPr defaultRowHeight="15" x14ac:dyDescent="0.25"/>
  <cols>
    <col min="1" max="1" width="18" customWidth="1"/>
    <col min="2" max="2" width="14.140625" customWidth="1"/>
    <col min="3" max="3" width="17.42578125" customWidth="1"/>
    <col min="8" max="8" width="16.5703125" customWidth="1"/>
    <col min="11" max="11" width="17" customWidth="1"/>
    <col min="12" max="12" width="23.85546875" customWidth="1"/>
    <col min="13" max="13" width="15.7109375" customWidth="1"/>
    <col min="14" max="14" width="15.85546875" customWidth="1"/>
    <col min="15" max="15" width="18.5703125" customWidth="1"/>
  </cols>
  <sheetData>
    <row r="5" spans="1:15" ht="60" x14ac:dyDescent="0.25">
      <c r="K5" s="8" t="s">
        <v>27</v>
      </c>
      <c r="L5" s="9" t="s">
        <v>30</v>
      </c>
      <c r="M5" s="9" t="s">
        <v>29</v>
      </c>
      <c r="N5" s="9" t="s">
        <v>34</v>
      </c>
      <c r="O5" s="8" t="s">
        <v>28</v>
      </c>
    </row>
    <row r="6" spans="1:15" x14ac:dyDescent="0.25">
      <c r="K6" s="8"/>
      <c r="L6" s="10">
        <f>B15</f>
        <v>181.71407264876828</v>
      </c>
      <c r="M6" s="10">
        <f>C15</f>
        <v>158.86406415839858</v>
      </c>
      <c r="N6" s="8">
        <f>C16/(1+C16)</f>
        <v>9.9216949067056613E-5</v>
      </c>
      <c r="O6" s="8">
        <f>N6*100</f>
        <v>9.9216949067056619E-3</v>
      </c>
    </row>
    <row r="7" spans="1:15" x14ac:dyDescent="0.25">
      <c r="G7" t="s">
        <v>25</v>
      </c>
    </row>
    <row r="8" spans="1:15" x14ac:dyDescent="0.25">
      <c r="G8" t="s">
        <v>24</v>
      </c>
      <c r="H8">
        <f>-363.34304252</f>
        <v>-363.34304251999998</v>
      </c>
    </row>
    <row r="10" spans="1:15" x14ac:dyDescent="0.25">
      <c r="G10" t="s">
        <v>23</v>
      </c>
    </row>
    <row r="11" spans="1:15" x14ac:dyDescent="0.25">
      <c r="G11" t="s">
        <v>24</v>
      </c>
      <c r="H11">
        <v>-363.33433927999999</v>
      </c>
    </row>
    <row r="13" spans="1:15" ht="18.75" x14ac:dyDescent="0.3">
      <c r="A13" s="6">
        <v>298.14999999999998</v>
      </c>
      <c r="B13" s="2" t="s">
        <v>12</v>
      </c>
      <c r="C13" s="2" t="s">
        <v>13</v>
      </c>
      <c r="G13" t="s">
        <v>26</v>
      </c>
    </row>
    <row r="14" spans="1:15" ht="18.75" x14ac:dyDescent="0.3">
      <c r="A14" s="2" t="s">
        <v>15</v>
      </c>
      <c r="B14" s="2">
        <f>H14-H8</f>
        <v>6.9212279999987913E-2</v>
      </c>
      <c r="C14" s="2">
        <f>H14-H11</f>
        <v>6.0509039999999459E-2</v>
      </c>
      <c r="G14" t="s">
        <v>24</v>
      </c>
      <c r="H14">
        <f>-363.27383024</f>
        <v>-363.27383024</v>
      </c>
    </row>
    <row r="15" spans="1:15" ht="18.75" x14ac:dyDescent="0.3">
      <c r="A15" s="3" t="s">
        <v>14</v>
      </c>
      <c r="B15" s="4">
        <f>B14*2625.46</f>
        <v>181.71407264876828</v>
      </c>
      <c r="C15" s="4">
        <f>C14*2625.46</f>
        <v>158.86406415839858</v>
      </c>
    </row>
    <row r="16" spans="1:15" ht="18.75" x14ac:dyDescent="0.3">
      <c r="B16" s="2" t="s">
        <v>16</v>
      </c>
      <c r="C16" s="2">
        <f>EXP(-(B15-C15)*1000/(8.314*A13))</f>
        <v>9.9226794046827641E-5</v>
      </c>
    </row>
    <row r="17" spans="2:4" ht="18.75" x14ac:dyDescent="0.3">
      <c r="B17" s="2" t="s">
        <v>22</v>
      </c>
      <c r="C17" s="7"/>
    </row>
    <row r="23" spans="2:4" x14ac:dyDescent="0.25">
      <c r="C23" t="s">
        <v>32</v>
      </c>
      <c r="D23" t="s">
        <v>33</v>
      </c>
    </row>
    <row r="24" spans="2:4" x14ac:dyDescent="0.25">
      <c r="C24">
        <v>0</v>
      </c>
      <c r="D24">
        <f>0</f>
        <v>0</v>
      </c>
    </row>
    <row r="25" spans="2:4" x14ac:dyDescent="0.25">
      <c r="C25">
        <f>C24+5</f>
        <v>5</v>
      </c>
      <c r="D25">
        <f>0</f>
        <v>0</v>
      </c>
    </row>
    <row r="26" spans="2:4" x14ac:dyDescent="0.25">
      <c r="C26">
        <f>C25+10</f>
        <v>15</v>
      </c>
      <c r="D26">
        <f>0</f>
        <v>0</v>
      </c>
    </row>
    <row r="27" spans="2:4" x14ac:dyDescent="0.25">
      <c r="C27">
        <f>C26+10</f>
        <v>25</v>
      </c>
      <c r="D27" s="11">
        <f>L6</f>
        <v>181.71407264876828</v>
      </c>
    </row>
    <row r="28" spans="2:4" x14ac:dyDescent="0.25">
      <c r="C28">
        <f t="shared" ref="C28:C33" si="0">C27+15</f>
        <v>40</v>
      </c>
      <c r="D28" s="11">
        <f>D27</f>
        <v>181.71407264876828</v>
      </c>
    </row>
    <row r="29" spans="2:4" x14ac:dyDescent="0.25">
      <c r="C29">
        <f t="shared" si="0"/>
        <v>55</v>
      </c>
      <c r="D29" s="11">
        <f>D28</f>
        <v>181.71407264876828</v>
      </c>
    </row>
    <row r="30" spans="2:4" x14ac:dyDescent="0.25">
      <c r="C30">
        <f t="shared" si="0"/>
        <v>70</v>
      </c>
      <c r="D30" s="11">
        <f>L6-M6</f>
        <v>22.850008490369703</v>
      </c>
    </row>
    <row r="31" spans="2:4" x14ac:dyDescent="0.25">
      <c r="C31">
        <f t="shared" si="0"/>
        <v>85</v>
      </c>
      <c r="D31" s="11">
        <f t="shared" ref="D31:D33" si="1">D30</f>
        <v>22.850008490369703</v>
      </c>
    </row>
    <row r="32" spans="2:4" x14ac:dyDescent="0.25">
      <c r="C32">
        <f t="shared" si="0"/>
        <v>100</v>
      </c>
      <c r="D32" s="11">
        <f t="shared" si="1"/>
        <v>22.850008490369703</v>
      </c>
    </row>
    <row r="33" spans="3:4" x14ac:dyDescent="0.25">
      <c r="C33">
        <f t="shared" si="0"/>
        <v>115</v>
      </c>
      <c r="D33" s="11">
        <f t="shared" si="1"/>
        <v>22.850008490369703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u04</dc:creator>
  <cp:lastModifiedBy>Битанова Кара</cp:lastModifiedBy>
  <dcterms:created xsi:type="dcterms:W3CDTF">2021-11-19T17:59:49Z</dcterms:created>
  <dcterms:modified xsi:type="dcterms:W3CDTF">2025-05-26T09:07:02Z</dcterms:modified>
</cp:coreProperties>
</file>